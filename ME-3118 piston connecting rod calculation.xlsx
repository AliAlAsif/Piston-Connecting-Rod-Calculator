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61B67496-34B2-4E3B-966F-5121B4A8B3D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puts" sheetId="1" r:id="rId1"/>
    <sheet name="Piston" sheetId="2" r:id="rId2"/>
    <sheet name="Connecting Ro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2" l="1"/>
  <c r="C29" i="2"/>
  <c r="C19" i="1"/>
  <c r="C11" i="2" s="1"/>
  <c r="C12" i="1"/>
  <c r="C24" i="2" s="1"/>
  <c r="C14" i="1"/>
  <c r="C19" i="3" s="1"/>
  <c r="C20" i="3" s="1"/>
  <c r="C32" i="3"/>
  <c r="C9" i="3"/>
  <c r="C8" i="3"/>
  <c r="C17" i="2"/>
  <c r="C22" i="2" s="1"/>
  <c r="C12" i="2"/>
  <c r="C13" i="2" s="1"/>
  <c r="C7" i="2"/>
  <c r="C8" i="2" s="1"/>
  <c r="C31" i="2" s="1"/>
  <c r="C32" i="2" s="1"/>
  <c r="C10" i="3" l="1"/>
  <c r="C12" i="3" s="1"/>
  <c r="C13" i="3"/>
  <c r="C21" i="3" s="1"/>
  <c r="C30" i="2"/>
  <c r="C33" i="2" s="1"/>
  <c r="C11" i="3"/>
  <c r="C23" i="2"/>
  <c r="C19" i="2"/>
  <c r="C18" i="2"/>
  <c r="C16" i="3"/>
  <c r="C26" i="2"/>
  <c r="C14" i="2"/>
  <c r="C37" i="2" s="1"/>
  <c r="C25" i="3" l="1"/>
  <c r="C38" i="2"/>
  <c r="C40" i="2" s="1"/>
  <c r="C26" i="3" l="1"/>
  <c r="C33" i="3"/>
  <c r="C41" i="2"/>
  <c r="C42" i="2"/>
  <c r="C43" i="3"/>
  <c r="C41" i="3"/>
  <c r="C42" i="3"/>
  <c r="C27" i="3" l="1"/>
  <c r="C28" i="3"/>
  <c r="C35" i="3"/>
  <c r="C36" i="3"/>
  <c r="C38" i="3" l="1"/>
  <c r="C37" i="3"/>
</calcChain>
</file>

<file path=xl/sharedStrings.xml><?xml version="1.0" encoding="utf-8"?>
<sst xmlns="http://schemas.openxmlformats.org/spreadsheetml/2006/main" count="291" uniqueCount="214">
  <si>
    <t>Symbol</t>
  </si>
  <si>
    <t>Description</t>
  </si>
  <si>
    <t>Value</t>
  </si>
  <si>
    <t>Unit</t>
  </si>
  <si>
    <t>ENGINE GEOMETRY</t>
  </si>
  <si>
    <t>P</t>
  </si>
  <si>
    <t>Rated power per cylinder</t>
  </si>
  <si>
    <t>kW</t>
  </si>
  <si>
    <t>N</t>
  </si>
  <si>
    <t>Engine speed</t>
  </si>
  <si>
    <t>rpm</t>
  </si>
  <si>
    <t>D</t>
  </si>
  <si>
    <t>Bore (cylinder diameter)</t>
  </si>
  <si>
    <t>mm</t>
  </si>
  <si>
    <t>L</t>
  </si>
  <si>
    <t>Stroke</t>
  </si>
  <si>
    <t>x</t>
  </si>
  <si>
    <t>2 = four-stroke  /  1 = two-stroke</t>
  </si>
  <si>
    <t>p</t>
  </si>
  <si>
    <t>Max gas pressure (design)</t>
  </si>
  <si>
    <t>N/mm²</t>
  </si>
  <si>
    <t>r</t>
  </si>
  <si>
    <t>Crank radius  (= L/2)</t>
  </si>
  <si>
    <t>l</t>
  </si>
  <si>
    <t>Connecting rod length</t>
  </si>
  <si>
    <t>omega</t>
  </si>
  <si>
    <t>Crank angular speed  (= 2πN/60)</t>
  </si>
  <si>
    <t>rad/s</t>
  </si>
  <si>
    <t>σu_p</t>
  </si>
  <si>
    <t>σy_p</t>
  </si>
  <si>
    <t>σt_p</t>
  </si>
  <si>
    <t>Permissible bending stress (= σy/FOS)</t>
  </si>
  <si>
    <t>nu_p</t>
  </si>
  <si>
    <t>k_p</t>
  </si>
  <si>
    <t>W/m·K</t>
  </si>
  <si>
    <t>Tc</t>
  </si>
  <si>
    <t>Crown-centre temperature (service)</t>
  </si>
  <si>
    <t>°C</t>
  </si>
  <si>
    <t>Te</t>
  </si>
  <si>
    <t>Crown-edge temperature (service)</t>
  </si>
  <si>
    <t>pb_sk</t>
  </si>
  <si>
    <t>pb_pin</t>
  </si>
  <si>
    <t>σb_pin</t>
  </si>
  <si>
    <t>k_pin</t>
  </si>
  <si>
    <t>Hollow ratio  di/do  (0 = solid pin)</t>
  </si>
  <si>
    <t>σt_rng</t>
  </si>
  <si>
    <t>pw</t>
  </si>
  <si>
    <t>Mean ring-to-bore pressure</t>
  </si>
  <si>
    <t>HEAT FLOW (crown thickness cross-check)</t>
  </si>
  <si>
    <t>mf</t>
  </si>
  <si>
    <t>Fuel mass flow rate</t>
  </si>
  <si>
    <t>kg/s</t>
  </si>
  <si>
    <t>HCV</t>
  </si>
  <si>
    <t>Higher calorific value of fuel</t>
  </si>
  <si>
    <t>kJ/kg</t>
  </si>
  <si>
    <t>C</t>
  </si>
  <si>
    <t>Heat fraction through piston crown</t>
  </si>
  <si>
    <t>σc_r</t>
  </si>
  <si>
    <t>σy_r</t>
  </si>
  <si>
    <t>σu_r</t>
  </si>
  <si>
    <t>a</t>
  </si>
  <si>
    <t>Rankine's constant</t>
  </si>
  <si>
    <t>σe_r</t>
  </si>
  <si>
    <t>Endurance limit (rotating-beam test)</t>
  </si>
  <si>
    <t>Ka</t>
  </si>
  <si>
    <t>Surface finish factor (Marin)</t>
  </si>
  <si>
    <t>Kb</t>
  </si>
  <si>
    <t>Size factor (Marin)</t>
  </si>
  <si>
    <t>Kc</t>
  </si>
  <si>
    <t>Load-type factor (Marin)</t>
  </si>
  <si>
    <t>Kd</t>
  </si>
  <si>
    <t>Temperature factor (Marin)</t>
  </si>
  <si>
    <t>Ke</t>
  </si>
  <si>
    <t>Reliability factor (Marin)</t>
  </si>
  <si>
    <t>mrec</t>
  </si>
  <si>
    <t>Reciprocating mass (piston+pin+⅓ rod)</t>
  </si>
  <si>
    <t>kg</t>
  </si>
  <si>
    <t>PISTON DESIGN</t>
  </si>
  <si>
    <t>Result</t>
  </si>
  <si>
    <t>1.  GAS FORCE</t>
  </si>
  <si>
    <t>A</t>
  </si>
  <si>
    <t>Piston crown area</t>
  </si>
  <si>
    <t>mm²</t>
  </si>
  <si>
    <t>Fg</t>
  </si>
  <si>
    <t>Max gas force on piston</t>
  </si>
  <si>
    <t>2.  PISTON HEAD THICKNESS</t>
  </si>
  <si>
    <t>tH_str</t>
  </si>
  <si>
    <t>H</t>
  </si>
  <si>
    <t>Heat conducted through crown</t>
  </si>
  <si>
    <t>W</t>
  </si>
  <si>
    <t>tH_ht</t>
  </si>
  <si>
    <t>tH</t>
  </si>
  <si>
    <t>3.  COMPRESSION RINGS</t>
  </si>
  <si>
    <t>t2</t>
  </si>
  <si>
    <t>Ring radial thickness</t>
  </si>
  <si>
    <t>t3_min</t>
  </si>
  <si>
    <t>Ring axial width (min)</t>
  </si>
  <si>
    <t>t3_max</t>
  </si>
  <si>
    <t>Ring axial width (max)</t>
  </si>
  <si>
    <t>4.  BARREL, SKIRT &amp; SKIRT LENGTH</t>
  </si>
  <si>
    <t>t_bar</t>
  </si>
  <si>
    <t>Barrel thickness</t>
  </si>
  <si>
    <t>t_sk</t>
  </si>
  <si>
    <t>Skirt thickness</t>
  </si>
  <si>
    <t>phi</t>
  </si>
  <si>
    <t>Crank obliquity angle</t>
  </si>
  <si>
    <t>°</t>
  </si>
  <si>
    <t>Fn</t>
  </si>
  <si>
    <t>Side thrust on skirt</t>
  </si>
  <si>
    <t>l_sk</t>
  </si>
  <si>
    <t>5.  GUDGEON PIN</t>
  </si>
  <si>
    <t>l_pin</t>
  </si>
  <si>
    <t>Pin bearing length (≈ 0.45D)</t>
  </si>
  <si>
    <t>do_brg</t>
  </si>
  <si>
    <t>Mmax</t>
  </si>
  <si>
    <t>Max bending moment on pin</t>
  </si>
  <si>
    <t>N·mm</t>
  </si>
  <si>
    <t>do_bnd</t>
  </si>
  <si>
    <t>do</t>
  </si>
  <si>
    <t>σr</t>
  </si>
  <si>
    <t>Radial bending stress at crown edge (max tensile face)</t>
  </si>
  <si>
    <t>σθ</t>
  </si>
  <si>
    <t>Hoop (circumferential) stress at same point</t>
  </si>
  <si>
    <t>τ</t>
  </si>
  <si>
    <t>Shear stress in head plane</t>
  </si>
  <si>
    <t>σ_vm_p</t>
  </si>
  <si>
    <t>FOS_vm_y</t>
  </si>
  <si>
    <t>FOS against yield  (Von Mises)</t>
  </si>
  <si>
    <t>FOS_vm_u</t>
  </si>
  <si>
    <t>FOS against fracture  (Von Mises)</t>
  </si>
  <si>
    <t>CONNECTING ROD DESIGN</t>
  </si>
  <si>
    <t>1.  I-SECTION PROPORTIONS  (flange = 4t, depth = 5t, all walls = t)</t>
  </si>
  <si>
    <t>t</t>
  </si>
  <si>
    <t>Cross-section area</t>
  </si>
  <si>
    <t>Ixx</t>
  </si>
  <si>
    <t>mm⁴</t>
  </si>
  <si>
    <t>Iyy</t>
  </si>
  <si>
    <t>kxx</t>
  </si>
  <si>
    <t>kyy</t>
  </si>
  <si>
    <t>Zxx</t>
  </si>
  <si>
    <t>Section modulus about x-x axis</t>
  </si>
  <si>
    <t>mm³</t>
  </si>
  <si>
    <t>2.  DIRECT COMPRESSIVE STRESS  (short column behaviour)</t>
  </si>
  <si>
    <t>σc_dir</t>
  </si>
  <si>
    <t>Direct compressive stress</t>
  </si>
  <si>
    <t>3.  BENDING STRESS (whipping due to inertia)</t>
  </si>
  <si>
    <t>wi</t>
  </si>
  <si>
    <t>Distributed inertia load per unit length</t>
  </si>
  <si>
    <t>N/mm</t>
  </si>
  <si>
    <t>M_wh</t>
  </si>
  <si>
    <t>Max whipping bending moment</t>
  </si>
  <si>
    <t>σ_bnd</t>
  </si>
  <si>
    <t>Whipping bending stress</t>
  </si>
  <si>
    <t>σ_tot</t>
  </si>
  <si>
    <t>Combined stress at extreme fibre</t>
  </si>
  <si>
    <t>σ_vm_r</t>
  </si>
  <si>
    <t>FOS_vm_ry</t>
  </si>
  <si>
    <t>FOS_vm_ru</t>
  </si>
  <si>
    <t>σe_prime</t>
  </si>
  <si>
    <t>Corrected endurance limit  σe'</t>
  </si>
  <si>
    <t>σ_max_f</t>
  </si>
  <si>
    <t>Max stress in fatigue cycle  (= direct + bending)</t>
  </si>
  <si>
    <t>σ_min_f</t>
  </si>
  <si>
    <t>Min stress in fatigue cycle  (rod at BDC, gas ≈ 0)</t>
  </si>
  <si>
    <t>σm</t>
  </si>
  <si>
    <t>Mean stress</t>
  </si>
  <si>
    <t>σa</t>
  </si>
  <si>
    <t>Stress amplitude</t>
  </si>
  <si>
    <t>FOS_Sod</t>
  </si>
  <si>
    <t>FOS_Gdm</t>
  </si>
  <si>
    <t>FOS (Goodman)</t>
  </si>
  <si>
    <t>7.  PIN BORE SIZES</t>
  </si>
  <si>
    <t>do_sm</t>
  </si>
  <si>
    <t>Small-end bore diameter  (= gudgeon pin OD)</t>
  </si>
  <si>
    <t>l_sm</t>
  </si>
  <si>
    <t>Small-end bearing length</t>
  </si>
  <si>
    <t>l_big</t>
  </si>
  <si>
    <t>Big-end bearing length  (≈ 1.15×do)</t>
  </si>
  <si>
    <t>PISTON &amp; CONNECTING ROD   DESIGN INPUTS</t>
  </si>
  <si>
    <t xml:space="preserve"> </t>
  </si>
  <si>
    <t>Ultimate tensile strength   piston</t>
  </si>
  <si>
    <t>Yield (0.2 % proof) strength   piston</t>
  </si>
  <si>
    <t>Poisson's ratio   piston material</t>
  </si>
  <si>
    <t>Thermal conductivity   piston</t>
  </si>
  <si>
    <t>Permissible bearing pressure   skirt</t>
  </si>
  <si>
    <t>Permissible bearing pressure   pin bush</t>
  </si>
  <si>
    <t>Permissible bending stress   pin</t>
  </si>
  <si>
    <t>Perm. bending stress   ring material</t>
  </si>
  <si>
    <t>Compressive yield stress   rod</t>
  </si>
  <si>
    <t>Tensile yield strength   rod</t>
  </si>
  <si>
    <t>Ultimate tensile strength   rod</t>
  </si>
  <si>
    <t>FOS</t>
  </si>
  <si>
    <t>Factor of Safety</t>
  </si>
  <si>
    <t>Skirt length</t>
  </si>
  <si>
    <t xml:space="preserve"> DESIGN head thickness</t>
  </si>
  <si>
    <t>DESIGN gudgeon pin diameter</t>
  </si>
  <si>
    <t xml:space="preserve">Trial I-section web thickness </t>
  </si>
  <si>
    <t>FOS (Soderberg)</t>
  </si>
  <si>
    <t>Head thickness - strength (Grashoff)</t>
  </si>
  <si>
    <t>Head thickness - heat-dissipation</t>
  </si>
  <si>
    <t>Pin dia. - bearing pressure</t>
  </si>
  <si>
    <t>Pin dia. - bending stress</t>
  </si>
  <si>
    <t>6.  VON MISES STRESS - PISTON HEAD</t>
  </si>
  <si>
    <t>-</t>
  </si>
  <si>
    <t>Second moment - swing plane (x-x)</t>
  </si>
  <si>
    <t>Second moment - perpendicular plane (y-y)</t>
  </si>
  <si>
    <t>Radius of gyration - swing plane</t>
  </si>
  <si>
    <t>Radius of gyration - perpendicular plane</t>
  </si>
  <si>
    <t>4.  VON MISES STRESS - CONNECTING ROD  (compression + bending combined)</t>
  </si>
  <si>
    <t>Von Mises stress - rod</t>
  </si>
  <si>
    <t>5.  FATIGUE ANALYSIS - CONNECTING ROD  (cyclic gas + inertia load)</t>
  </si>
  <si>
    <t>PISTON MATERIAL-AL GHS 1300 Aluminum alloy</t>
  </si>
  <si>
    <t>CONNECTING ROD MATERIAL-AL GHS 1300 Aluminum alloy</t>
  </si>
  <si>
    <t>Von Mises equivalent stress - piston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</si>
</sst>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name val="Calibri"/>
    </font>
    <font>
      <b/>
      <sz val="11"/>
      <name val="Calibri"/>
    </font>
    <font>
      <i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CC"/>
      </patternFill>
    </fill>
    <fill>
      <patternFill patternType="solid">
        <fgColor rgb="FFEBF3FB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/>
    <xf numFmtId="0" fontId="4" fillId="0" borderId="1" xfId="0" applyFont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3" fillId="4" borderId="1" xfId="0" applyFont="1" applyFill="1" applyBorder="1"/>
    <xf numFmtId="0" fontId="3" fillId="3" borderId="1" xfId="0" applyFont="1" applyFill="1" applyBorder="1"/>
    <xf numFmtId="0" fontId="5" fillId="4" borderId="1" xfId="0" applyFont="1" applyFill="1" applyBorder="1"/>
    <xf numFmtId="0" fontId="7" fillId="0" borderId="1" xfId="0" applyFont="1" applyBorder="1"/>
    <xf numFmtId="0" fontId="3" fillId="5" borderId="1" xfId="0" applyFont="1" applyFill="1" applyBorder="1"/>
    <xf numFmtId="0" fontId="3" fillId="0" borderId="0" xfId="0" applyFont="1"/>
    <xf numFmtId="0" fontId="1" fillId="0" borderId="0" xfId="0" applyFont="1"/>
    <xf numFmtId="0" fontId="2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opLeftCell="A25" zoomScale="115" zoomScaleNormal="115" workbookViewId="0">
      <selection activeCell="D30" sqref="D30"/>
    </sheetView>
  </sheetViews>
  <sheetFormatPr defaultRowHeight="14.4" x14ac:dyDescent="0.3"/>
  <cols>
    <col min="1" max="1" width="12" customWidth="1"/>
    <col min="2" max="2" width="40" customWidth="1"/>
    <col min="3" max="3" width="14" customWidth="1"/>
    <col min="4" max="4" width="10" customWidth="1"/>
  </cols>
  <sheetData>
    <row r="1" spans="1:4" ht="17.55" customHeight="1" x14ac:dyDescent="0.35">
      <c r="A1" s="12" t="s">
        <v>178</v>
      </c>
      <c r="B1" s="12"/>
      <c r="C1" s="12"/>
      <c r="D1" s="12"/>
    </row>
    <row r="2" spans="1:4" ht="10.35" customHeight="1" x14ac:dyDescent="0.3">
      <c r="A2" s="13"/>
      <c r="B2" s="13"/>
      <c r="C2" s="13"/>
      <c r="D2" s="13"/>
    </row>
    <row r="3" spans="1:4" ht="4.8" customHeight="1" x14ac:dyDescent="0.3"/>
    <row r="4" spans="1:4" ht="13.65" customHeight="1" x14ac:dyDescent="0.3">
      <c r="A4" s="10" t="s">
        <v>0</v>
      </c>
      <c r="B4" s="10" t="s">
        <v>1</v>
      </c>
      <c r="C4" s="10" t="s">
        <v>2</v>
      </c>
      <c r="D4" s="10" t="s">
        <v>3</v>
      </c>
    </row>
    <row r="5" spans="1:4" ht="12" customHeight="1" x14ac:dyDescent="0.3">
      <c r="A5" s="11" t="s">
        <v>4</v>
      </c>
      <c r="B5" s="11"/>
      <c r="C5" s="11"/>
      <c r="D5" s="11"/>
    </row>
    <row r="6" spans="1:4" ht="13.65" customHeight="1" x14ac:dyDescent="0.3">
      <c r="A6" s="2" t="s">
        <v>5</v>
      </c>
      <c r="B6" s="3" t="s">
        <v>6</v>
      </c>
      <c r="C6" s="4">
        <v>6.23</v>
      </c>
      <c r="D6" s="3" t="s">
        <v>7</v>
      </c>
    </row>
    <row r="7" spans="1:4" ht="13.65" customHeight="1" x14ac:dyDescent="0.3">
      <c r="A7" s="2" t="s">
        <v>8</v>
      </c>
      <c r="B7" s="3" t="s">
        <v>9</v>
      </c>
      <c r="C7" s="4">
        <v>7500</v>
      </c>
      <c r="D7" s="3" t="s">
        <v>10</v>
      </c>
    </row>
    <row r="8" spans="1:4" ht="13.65" customHeight="1" x14ac:dyDescent="0.3">
      <c r="A8" s="2" t="s">
        <v>11</v>
      </c>
      <c r="B8" s="3" t="s">
        <v>12</v>
      </c>
      <c r="C8" s="4">
        <v>51</v>
      </c>
      <c r="D8" s="3" t="s">
        <v>13</v>
      </c>
    </row>
    <row r="9" spans="1:4" ht="13.65" customHeight="1" x14ac:dyDescent="0.3">
      <c r="A9" s="2" t="s">
        <v>14</v>
      </c>
      <c r="B9" s="3" t="s">
        <v>15</v>
      </c>
      <c r="C9" s="4">
        <v>48.8</v>
      </c>
      <c r="D9" s="3" t="s">
        <v>13</v>
      </c>
    </row>
    <row r="10" spans="1:4" ht="13.65" customHeight="1" x14ac:dyDescent="0.3">
      <c r="A10" s="2" t="s">
        <v>16</v>
      </c>
      <c r="B10" s="3" t="s">
        <v>17</v>
      </c>
      <c r="C10" s="4">
        <v>2</v>
      </c>
      <c r="D10" s="3" t="s">
        <v>179</v>
      </c>
    </row>
    <row r="11" spans="1:4" ht="13.65" customHeight="1" x14ac:dyDescent="0.3">
      <c r="A11" s="2" t="s">
        <v>18</v>
      </c>
      <c r="B11" s="3" t="s">
        <v>19</v>
      </c>
      <c r="C11" s="4">
        <v>4.5</v>
      </c>
      <c r="D11" s="3" t="s">
        <v>20</v>
      </c>
    </row>
    <row r="12" spans="1:4" ht="13.65" customHeight="1" x14ac:dyDescent="0.3">
      <c r="A12" s="2" t="s">
        <v>21</v>
      </c>
      <c r="B12" s="3" t="s">
        <v>22</v>
      </c>
      <c r="C12" s="4">
        <f>C9/2</f>
        <v>24.4</v>
      </c>
      <c r="D12" s="3" t="s">
        <v>13</v>
      </c>
    </row>
    <row r="13" spans="1:4" ht="13.65" customHeight="1" x14ac:dyDescent="0.3">
      <c r="A13" s="2" t="s">
        <v>23</v>
      </c>
      <c r="B13" s="3" t="s">
        <v>24</v>
      </c>
      <c r="C13" s="4">
        <v>97.9</v>
      </c>
      <c r="D13" s="3" t="s">
        <v>13</v>
      </c>
    </row>
    <row r="14" spans="1:4" ht="13.65" customHeight="1" x14ac:dyDescent="0.3">
      <c r="A14" s="2" t="s">
        <v>25</v>
      </c>
      <c r="B14" s="3" t="s">
        <v>26</v>
      </c>
      <c r="C14" s="4">
        <f>2*3.1416*C7/60</f>
        <v>785.4</v>
      </c>
      <c r="D14" s="3" t="s">
        <v>27</v>
      </c>
    </row>
    <row r="15" spans="1:4" ht="4.8" customHeight="1" x14ac:dyDescent="0.3"/>
    <row r="16" spans="1:4" ht="12" customHeight="1" x14ac:dyDescent="0.3">
      <c r="A16" s="11" t="s">
        <v>211</v>
      </c>
      <c r="B16" s="11"/>
      <c r="C16" s="11"/>
      <c r="D16" s="11"/>
    </row>
    <row r="17" spans="1:4" ht="13.65" customHeight="1" x14ac:dyDescent="0.3">
      <c r="A17" s="2" t="s">
        <v>28</v>
      </c>
      <c r="B17" s="3" t="s">
        <v>180</v>
      </c>
      <c r="C17" s="4">
        <v>1300</v>
      </c>
      <c r="D17" s="3" t="s">
        <v>20</v>
      </c>
    </row>
    <row r="18" spans="1:4" ht="13.65" customHeight="1" x14ac:dyDescent="0.3">
      <c r="A18" s="2" t="s">
        <v>29</v>
      </c>
      <c r="B18" s="3" t="s">
        <v>181</v>
      </c>
      <c r="C18" s="4">
        <v>1220</v>
      </c>
      <c r="D18" s="3" t="s">
        <v>20</v>
      </c>
    </row>
    <row r="19" spans="1:4" ht="13.65" customHeight="1" x14ac:dyDescent="0.3">
      <c r="A19" s="2" t="s">
        <v>30</v>
      </c>
      <c r="B19" s="3" t="s">
        <v>31</v>
      </c>
      <c r="C19" s="4">
        <f>C17/C30</f>
        <v>577.77777777777783</v>
      </c>
      <c r="D19" s="3" t="s">
        <v>20</v>
      </c>
    </row>
    <row r="20" spans="1:4" ht="13.65" customHeight="1" x14ac:dyDescent="0.3">
      <c r="A20" s="2" t="s">
        <v>32</v>
      </c>
      <c r="B20" s="3" t="s">
        <v>182</v>
      </c>
      <c r="C20" s="4">
        <v>0.3</v>
      </c>
      <c r="D20" s="3" t="s">
        <v>179</v>
      </c>
    </row>
    <row r="21" spans="1:4" ht="13.65" customHeight="1" x14ac:dyDescent="0.3">
      <c r="A21" s="2" t="s">
        <v>33</v>
      </c>
      <c r="B21" s="3" t="s">
        <v>183</v>
      </c>
      <c r="C21" s="4">
        <v>120</v>
      </c>
      <c r="D21" s="3" t="s">
        <v>34</v>
      </c>
    </row>
    <row r="22" spans="1:4" ht="13.65" customHeight="1" x14ac:dyDescent="0.3">
      <c r="A22" s="2" t="s">
        <v>35</v>
      </c>
      <c r="B22" s="3" t="s">
        <v>36</v>
      </c>
      <c r="C22" s="4">
        <v>330</v>
      </c>
      <c r="D22" s="3" t="s">
        <v>37</v>
      </c>
    </row>
    <row r="23" spans="1:4" ht="13.65" customHeight="1" x14ac:dyDescent="0.3">
      <c r="A23" s="2" t="s">
        <v>38</v>
      </c>
      <c r="B23" s="3" t="s">
        <v>39</v>
      </c>
      <c r="C23" s="4">
        <v>250</v>
      </c>
      <c r="D23" s="3" t="s">
        <v>37</v>
      </c>
    </row>
    <row r="24" spans="1:4" ht="13.65" customHeight="1" x14ac:dyDescent="0.3">
      <c r="A24" s="2" t="s">
        <v>40</v>
      </c>
      <c r="B24" s="3" t="s">
        <v>184</v>
      </c>
      <c r="C24" s="4">
        <v>0.5</v>
      </c>
      <c r="D24" s="3" t="s">
        <v>20</v>
      </c>
    </row>
    <row r="25" spans="1:4" ht="13.65" customHeight="1" x14ac:dyDescent="0.3">
      <c r="A25" s="2" t="s">
        <v>41</v>
      </c>
      <c r="B25" s="3" t="s">
        <v>185</v>
      </c>
      <c r="C25" s="4">
        <v>25</v>
      </c>
      <c r="D25" s="3" t="s">
        <v>20</v>
      </c>
    </row>
    <row r="26" spans="1:4" ht="13.65" customHeight="1" x14ac:dyDescent="0.3">
      <c r="A26" s="2" t="s">
        <v>42</v>
      </c>
      <c r="B26" s="3" t="s">
        <v>186</v>
      </c>
      <c r="C26" s="4">
        <v>100</v>
      </c>
      <c r="D26" s="3" t="s">
        <v>20</v>
      </c>
    </row>
    <row r="27" spans="1:4" ht="13.65" customHeight="1" x14ac:dyDescent="0.3">
      <c r="A27" s="2" t="s">
        <v>43</v>
      </c>
      <c r="B27" s="3" t="s">
        <v>44</v>
      </c>
      <c r="C27" s="4">
        <v>0.6</v>
      </c>
      <c r="D27" s="3" t="s">
        <v>179</v>
      </c>
    </row>
    <row r="28" spans="1:4" ht="13.65" customHeight="1" x14ac:dyDescent="0.3">
      <c r="A28" s="2" t="s">
        <v>45</v>
      </c>
      <c r="B28" s="3" t="s">
        <v>187</v>
      </c>
      <c r="C28" s="4">
        <v>110</v>
      </c>
      <c r="D28" s="3" t="s">
        <v>20</v>
      </c>
    </row>
    <row r="29" spans="1:4" x14ac:dyDescent="0.3">
      <c r="A29" s="2" t="s">
        <v>46</v>
      </c>
      <c r="B29" s="3" t="s">
        <v>47</v>
      </c>
      <c r="C29" s="4">
        <v>2.5000000000000001E-2</v>
      </c>
      <c r="D29" s="3" t="s">
        <v>20</v>
      </c>
    </row>
    <row r="30" spans="1:4" x14ac:dyDescent="0.3">
      <c r="A30" s="2" t="s">
        <v>191</v>
      </c>
      <c r="B30" s="3" t="s">
        <v>192</v>
      </c>
      <c r="C30" s="4">
        <v>2.25</v>
      </c>
      <c r="D30" s="3"/>
    </row>
    <row r="31" spans="1:4" ht="12" customHeight="1" x14ac:dyDescent="0.3">
      <c r="A31" s="11" t="s">
        <v>48</v>
      </c>
      <c r="B31" s="11"/>
      <c r="C31" s="11"/>
      <c r="D31" s="11"/>
    </row>
    <row r="32" spans="1:4" ht="13.65" customHeight="1" x14ac:dyDescent="0.3">
      <c r="A32" s="2" t="s">
        <v>49</v>
      </c>
      <c r="B32" s="3" t="s">
        <v>50</v>
      </c>
      <c r="C32" s="4">
        <v>8.8999999999999995E-4</v>
      </c>
      <c r="D32" s="3" t="s">
        <v>51</v>
      </c>
    </row>
    <row r="33" spans="1:4" ht="13.65" customHeight="1" x14ac:dyDescent="0.3">
      <c r="A33" s="2" t="s">
        <v>52</v>
      </c>
      <c r="B33" s="3" t="s">
        <v>53</v>
      </c>
      <c r="C33" s="4">
        <v>44000</v>
      </c>
      <c r="D33" s="3" t="s">
        <v>54</v>
      </c>
    </row>
    <row r="34" spans="1:4" ht="13.65" customHeight="1" x14ac:dyDescent="0.3">
      <c r="A34" s="2" t="s">
        <v>55</v>
      </c>
      <c r="B34" s="3" t="s">
        <v>56</v>
      </c>
      <c r="C34" s="4">
        <v>0.05</v>
      </c>
      <c r="D34" s="3" t="s">
        <v>179</v>
      </c>
    </row>
    <row r="35" spans="1:4" ht="4.8" customHeight="1" x14ac:dyDescent="0.3"/>
    <row r="36" spans="1:4" ht="12" customHeight="1" x14ac:dyDescent="0.3">
      <c r="A36" s="11" t="s">
        <v>212</v>
      </c>
      <c r="B36" s="11"/>
      <c r="C36" s="11"/>
      <c r="D36" s="11"/>
    </row>
    <row r="37" spans="1:4" ht="13.65" customHeight="1" x14ac:dyDescent="0.3">
      <c r="A37" s="2" t="s">
        <v>57</v>
      </c>
      <c r="B37" s="3" t="s">
        <v>188</v>
      </c>
      <c r="C37" s="4">
        <v>280</v>
      </c>
      <c r="D37" s="3" t="s">
        <v>20</v>
      </c>
    </row>
    <row r="38" spans="1:4" ht="13.65" customHeight="1" x14ac:dyDescent="0.3">
      <c r="A38" s="2" t="s">
        <v>58</v>
      </c>
      <c r="B38" s="3" t="s">
        <v>189</v>
      </c>
      <c r="C38" s="4">
        <v>380</v>
      </c>
      <c r="D38" s="3" t="s">
        <v>20</v>
      </c>
    </row>
    <row r="39" spans="1:4" ht="13.65" customHeight="1" x14ac:dyDescent="0.3">
      <c r="A39" s="2" t="s">
        <v>59</v>
      </c>
      <c r="B39" s="3" t="s">
        <v>190</v>
      </c>
      <c r="C39" s="4">
        <v>650</v>
      </c>
      <c r="D39" s="3" t="s">
        <v>20</v>
      </c>
    </row>
    <row r="40" spans="1:4" ht="13.65" customHeight="1" x14ac:dyDescent="0.3">
      <c r="A40" s="2" t="s">
        <v>60</v>
      </c>
      <c r="B40" s="3" t="s">
        <v>61</v>
      </c>
      <c r="C40" s="4">
        <v>1.3300000000000001E-4</v>
      </c>
      <c r="D40" s="3" t="s">
        <v>179</v>
      </c>
    </row>
    <row r="41" spans="1:4" ht="13.65" customHeight="1" x14ac:dyDescent="0.3">
      <c r="A41" s="2" t="s">
        <v>62</v>
      </c>
      <c r="B41" s="3" t="s">
        <v>63</v>
      </c>
      <c r="C41" s="4">
        <v>275</v>
      </c>
      <c r="D41" s="3" t="s">
        <v>20</v>
      </c>
    </row>
    <row r="42" spans="1:4" ht="13.65" customHeight="1" x14ac:dyDescent="0.3">
      <c r="A42" s="2" t="s">
        <v>64</v>
      </c>
      <c r="B42" s="3" t="s">
        <v>65</v>
      </c>
      <c r="C42" s="4">
        <v>0.8</v>
      </c>
      <c r="D42" s="3" t="s">
        <v>179</v>
      </c>
    </row>
    <row r="43" spans="1:4" ht="13.65" customHeight="1" x14ac:dyDescent="0.3">
      <c r="A43" s="2" t="s">
        <v>66</v>
      </c>
      <c r="B43" s="3" t="s">
        <v>67</v>
      </c>
      <c r="C43" s="4">
        <v>0.85</v>
      </c>
      <c r="D43" s="3" t="s">
        <v>179</v>
      </c>
    </row>
    <row r="44" spans="1:4" ht="13.65" customHeight="1" x14ac:dyDescent="0.3">
      <c r="A44" s="2" t="s">
        <v>68</v>
      </c>
      <c r="B44" s="3" t="s">
        <v>69</v>
      </c>
      <c r="C44" s="4">
        <v>1</v>
      </c>
      <c r="D44" s="3" t="s">
        <v>179</v>
      </c>
    </row>
    <row r="45" spans="1:4" ht="13.65" customHeight="1" x14ac:dyDescent="0.3">
      <c r="A45" s="2" t="s">
        <v>70</v>
      </c>
      <c r="B45" s="3" t="s">
        <v>71</v>
      </c>
      <c r="C45" s="4">
        <v>0.9</v>
      </c>
      <c r="D45" s="3" t="s">
        <v>179</v>
      </c>
    </row>
    <row r="46" spans="1:4" ht="13.65" customHeight="1" x14ac:dyDescent="0.3">
      <c r="A46" s="2" t="s">
        <v>72</v>
      </c>
      <c r="B46" s="3" t="s">
        <v>73</v>
      </c>
      <c r="C46" s="4">
        <v>0.9</v>
      </c>
      <c r="D46" s="3" t="s">
        <v>179</v>
      </c>
    </row>
    <row r="47" spans="1:4" ht="13.65" customHeight="1" x14ac:dyDescent="0.3">
      <c r="A47" s="2" t="s">
        <v>74</v>
      </c>
      <c r="B47" s="3" t="s">
        <v>75</v>
      </c>
      <c r="C47" s="4">
        <v>0.5</v>
      </c>
      <c r="D47" s="3" t="s">
        <v>76</v>
      </c>
    </row>
  </sheetData>
  <mergeCells count="6">
    <mergeCell ref="A36:D36"/>
    <mergeCell ref="A1:D1"/>
    <mergeCell ref="A2:D2"/>
    <mergeCell ref="A5:D5"/>
    <mergeCell ref="A16:D16"/>
    <mergeCell ref="A31:D3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"/>
  <sheetViews>
    <sheetView workbookViewId="0">
      <selection activeCell="B40" sqref="B40"/>
    </sheetView>
  </sheetViews>
  <sheetFormatPr defaultRowHeight="14.4" x14ac:dyDescent="0.3"/>
  <cols>
    <col min="1" max="1" width="14" customWidth="1"/>
    <col min="2" max="2" width="50" customWidth="1"/>
    <col min="3" max="3" width="14" customWidth="1"/>
    <col min="4" max="4" width="10" customWidth="1"/>
  </cols>
  <sheetData>
    <row r="1" spans="1:4" ht="17.55" customHeight="1" x14ac:dyDescent="0.35">
      <c r="A1" s="12" t="s">
        <v>77</v>
      </c>
      <c r="B1" s="12"/>
      <c r="C1" s="12"/>
      <c r="D1" s="12"/>
    </row>
    <row r="2" spans="1:4" ht="10.35" customHeight="1" x14ac:dyDescent="0.3">
      <c r="A2" s="13"/>
      <c r="B2" s="13"/>
      <c r="C2" s="13"/>
      <c r="D2" s="13"/>
    </row>
    <row r="3" spans="1:4" ht="4.8" customHeight="1" x14ac:dyDescent="0.3"/>
    <row r="4" spans="1:4" ht="13.65" customHeight="1" x14ac:dyDescent="0.3">
      <c r="A4" s="1" t="s">
        <v>0</v>
      </c>
      <c r="B4" s="1" t="s">
        <v>1</v>
      </c>
      <c r="C4" s="1" t="s">
        <v>78</v>
      </c>
      <c r="D4" s="1" t="s">
        <v>3</v>
      </c>
    </row>
    <row r="5" spans="1:4" ht="4.8" customHeight="1" x14ac:dyDescent="0.3"/>
    <row r="6" spans="1:4" ht="12" customHeight="1" x14ac:dyDescent="0.3">
      <c r="A6" s="11" t="s">
        <v>79</v>
      </c>
      <c r="B6" s="11"/>
      <c r="C6" s="11"/>
      <c r="D6" s="11"/>
    </row>
    <row r="7" spans="1:4" ht="13.65" customHeight="1" x14ac:dyDescent="0.3">
      <c r="A7" s="2" t="s">
        <v>80</v>
      </c>
      <c r="B7" s="3" t="s">
        <v>81</v>
      </c>
      <c r="C7" s="5">
        <f>PI()/4*(Inputs!C8)^2</f>
        <v>2042.8206229967629</v>
      </c>
      <c r="D7" s="3" t="s">
        <v>82</v>
      </c>
    </row>
    <row r="8" spans="1:4" ht="13.65" customHeight="1" x14ac:dyDescent="0.3">
      <c r="A8" s="2" t="s">
        <v>83</v>
      </c>
      <c r="B8" s="3" t="s">
        <v>84</v>
      </c>
      <c r="C8" s="5">
        <f>Inputs!C11*Piston!C7</f>
        <v>9192.6928034854336</v>
      </c>
      <c r="D8" s="3" t="s">
        <v>8</v>
      </c>
    </row>
    <row r="9" spans="1:4" ht="4.8" customHeight="1" x14ac:dyDescent="0.3"/>
    <row r="10" spans="1:4" ht="12" customHeight="1" x14ac:dyDescent="0.3">
      <c r="A10" s="11" t="s">
        <v>85</v>
      </c>
      <c r="B10" s="11"/>
      <c r="C10" s="11"/>
      <c r="D10" s="11"/>
    </row>
    <row r="11" spans="1:4" ht="13.65" customHeight="1" x14ac:dyDescent="0.3">
      <c r="A11" s="2" t="s">
        <v>86</v>
      </c>
      <c r="B11" s="3" t="s">
        <v>198</v>
      </c>
      <c r="C11" s="5">
        <f>Inputs!C8*SQRT(3*Inputs!C11/(16*Inputs!C19))</f>
        <v>1.9489318450213853</v>
      </c>
      <c r="D11" s="3" t="s">
        <v>13</v>
      </c>
    </row>
    <row r="12" spans="1:4" ht="13.65" customHeight="1" x14ac:dyDescent="0.3">
      <c r="A12" s="2" t="s">
        <v>87</v>
      </c>
      <c r="B12" s="3" t="s">
        <v>88</v>
      </c>
      <c r="C12" s="5">
        <f>Inputs!C34*Inputs!C33*1000*Inputs!C32</f>
        <v>1958</v>
      </c>
      <c r="D12" s="3" t="s">
        <v>89</v>
      </c>
    </row>
    <row r="13" spans="1:4" ht="13.65" customHeight="1" x14ac:dyDescent="0.3">
      <c r="A13" s="2" t="s">
        <v>90</v>
      </c>
      <c r="B13" s="3" t="s">
        <v>199</v>
      </c>
      <c r="C13" s="5">
        <f>Piston!C12/(12.56*Inputs!C21*(Inputs!C22-Inputs!C23))</f>
        <v>1.6238720806794057E-2</v>
      </c>
      <c r="D13" s="3" t="s">
        <v>13</v>
      </c>
    </row>
    <row r="14" spans="1:4" ht="13.65" customHeight="1" x14ac:dyDescent="0.3">
      <c r="A14" s="2" t="s">
        <v>91</v>
      </c>
      <c r="B14" s="3" t="s">
        <v>194</v>
      </c>
      <c r="C14" s="6">
        <f>MAX(Piston!C11,Piston!C13)</f>
        <v>1.9489318450213853</v>
      </c>
      <c r="D14" s="3" t="s">
        <v>13</v>
      </c>
    </row>
    <row r="15" spans="1:4" ht="4.8" customHeight="1" x14ac:dyDescent="0.3"/>
    <row r="16" spans="1:4" ht="12" customHeight="1" x14ac:dyDescent="0.3">
      <c r="A16" s="11" t="s">
        <v>92</v>
      </c>
      <c r="B16" s="11"/>
      <c r="C16" s="11"/>
      <c r="D16" s="11"/>
    </row>
    <row r="17" spans="1:4" ht="13.65" customHeight="1" x14ac:dyDescent="0.3">
      <c r="A17" s="2" t="s">
        <v>93</v>
      </c>
      <c r="B17" s="3" t="s">
        <v>94</v>
      </c>
      <c r="C17" s="5">
        <f>Inputs!C8*SQRT(3*Inputs!C29/Inputs!C28)</f>
        <v>1.3316940680610885</v>
      </c>
      <c r="D17" s="3" t="s">
        <v>13</v>
      </c>
    </row>
    <row r="18" spans="1:4" ht="13.65" customHeight="1" x14ac:dyDescent="0.3">
      <c r="A18" s="2" t="s">
        <v>95</v>
      </c>
      <c r="B18" s="3" t="s">
        <v>96</v>
      </c>
      <c r="C18" s="8">
        <f>0.7*Piston!C17</f>
        <v>0.93218584764276191</v>
      </c>
      <c r="D18" s="3" t="s">
        <v>13</v>
      </c>
    </row>
    <row r="19" spans="1:4" ht="13.65" customHeight="1" x14ac:dyDescent="0.3">
      <c r="A19" s="2" t="s">
        <v>97</v>
      </c>
      <c r="B19" s="3" t="s">
        <v>98</v>
      </c>
      <c r="C19" s="8">
        <f>Piston!C17</f>
        <v>1.3316940680610885</v>
      </c>
      <c r="D19" s="3" t="s">
        <v>13</v>
      </c>
    </row>
    <row r="20" spans="1:4" ht="4.8" customHeight="1" x14ac:dyDescent="0.3"/>
    <row r="21" spans="1:4" ht="12" customHeight="1" x14ac:dyDescent="0.3">
      <c r="A21" s="11" t="s">
        <v>99</v>
      </c>
      <c r="B21" s="11"/>
      <c r="C21" s="11"/>
      <c r="D21" s="11"/>
    </row>
    <row r="22" spans="1:4" ht="13.65" customHeight="1" x14ac:dyDescent="0.3">
      <c r="A22" s="2" t="s">
        <v>100</v>
      </c>
      <c r="B22" s="3" t="s">
        <v>101</v>
      </c>
      <c r="C22" s="5">
        <f>0.03*Inputs!C8+(Piston!C17+0.3)+4.5</f>
        <v>7.6616940680610881</v>
      </c>
      <c r="D22" s="3" t="s">
        <v>13</v>
      </c>
    </row>
    <row r="23" spans="1:4" ht="13.65" customHeight="1" x14ac:dyDescent="0.3">
      <c r="A23" s="2" t="s">
        <v>102</v>
      </c>
      <c r="B23" s="3" t="s">
        <v>103</v>
      </c>
      <c r="C23" s="5">
        <f>0.3*Piston!C22</f>
        <v>2.2985082204183263</v>
      </c>
      <c r="D23" s="3" t="s">
        <v>13</v>
      </c>
    </row>
    <row r="24" spans="1:4" ht="13.65" customHeight="1" x14ac:dyDescent="0.3">
      <c r="A24" s="2" t="s">
        <v>104</v>
      </c>
      <c r="B24" s="3" t="s">
        <v>105</v>
      </c>
      <c r="C24" s="5">
        <f>DEGREES(ASIN(Inputs!C12/Inputs!C13))</f>
        <v>14.432183695413897</v>
      </c>
      <c r="D24" s="3" t="s">
        <v>106</v>
      </c>
    </row>
    <row r="25" spans="1:4" ht="13.65" customHeight="1" x14ac:dyDescent="0.3">
      <c r="A25" s="2" t="s">
        <v>107</v>
      </c>
      <c r="B25" s="3" t="s">
        <v>108</v>
      </c>
      <c r="C25" s="5">
        <f>Inputs!C11*0.1*3.1416*(Inputs!C8^2)/4</f>
        <v>919.27143000000001</v>
      </c>
      <c r="D25" s="3" t="s">
        <v>8</v>
      </c>
    </row>
    <row r="26" spans="1:4" ht="13.65" customHeight="1" x14ac:dyDescent="0.3">
      <c r="A26" s="2" t="s">
        <v>109</v>
      </c>
      <c r="B26" s="3" t="s">
        <v>193</v>
      </c>
      <c r="C26" s="6">
        <f>Piston!C25/(Inputs!C8*Inputs!C24)</f>
        <v>36.049860000000002</v>
      </c>
      <c r="D26" s="3" t="s">
        <v>13</v>
      </c>
    </row>
    <row r="27" spans="1:4" ht="4.8" customHeight="1" x14ac:dyDescent="0.3"/>
    <row r="28" spans="1:4" ht="12" customHeight="1" x14ac:dyDescent="0.3">
      <c r="A28" s="11" t="s">
        <v>110</v>
      </c>
      <c r="B28" s="11"/>
      <c r="C28" s="11"/>
      <c r="D28" s="11"/>
    </row>
    <row r="29" spans="1:4" ht="13.65" customHeight="1" x14ac:dyDescent="0.3">
      <c r="A29" s="2" t="s">
        <v>111</v>
      </c>
      <c r="B29" s="3" t="s">
        <v>112</v>
      </c>
      <c r="C29" s="5">
        <f>0.45*Inputs!C8</f>
        <v>22.95</v>
      </c>
      <c r="D29" s="3" t="s">
        <v>13</v>
      </c>
    </row>
    <row r="30" spans="1:4" ht="13.65" customHeight="1" x14ac:dyDescent="0.3">
      <c r="A30" s="2" t="s">
        <v>113</v>
      </c>
      <c r="B30" s="3" t="s">
        <v>200</v>
      </c>
      <c r="C30" s="5">
        <f>Piston!C8/(Piston!C29*Inputs!C25)</f>
        <v>16.022122533307947</v>
      </c>
      <c r="D30" s="3" t="s">
        <v>13</v>
      </c>
    </row>
    <row r="31" spans="1:4" ht="13.65" customHeight="1" x14ac:dyDescent="0.3">
      <c r="A31" s="2" t="s">
        <v>114</v>
      </c>
      <c r="B31" s="3" t="s">
        <v>115</v>
      </c>
      <c r="C31" s="5">
        <f>Piston!C8*Piston!C29/8</f>
        <v>26371.537479998839</v>
      </c>
      <c r="D31" s="3" t="s">
        <v>116</v>
      </c>
    </row>
    <row r="32" spans="1:4" ht="13.65" customHeight="1" x14ac:dyDescent="0.3">
      <c r="A32" s="2" t="s">
        <v>117</v>
      </c>
      <c r="B32" s="3" t="s">
        <v>201</v>
      </c>
      <c r="C32" s="5">
        <f>(32*Piston!C31/(PI()*Inputs!C26*(1-Inputs!C27^4)))^(1/3)</f>
        <v>14.559246235296168</v>
      </c>
      <c r="D32" s="3" t="s">
        <v>13</v>
      </c>
    </row>
    <row r="33" spans="1:4" ht="13.65" customHeight="1" x14ac:dyDescent="0.3">
      <c r="A33" s="2" t="s">
        <v>118</v>
      </c>
      <c r="B33" s="3" t="s">
        <v>195</v>
      </c>
      <c r="C33" s="6">
        <f>MAX(Piston!C30,Piston!C32)</f>
        <v>16.022122533307947</v>
      </c>
      <c r="D33" s="3" t="s">
        <v>13</v>
      </c>
    </row>
    <row r="34" spans="1:4" ht="4.8" customHeight="1" x14ac:dyDescent="0.3"/>
    <row r="35" spans="1:4" ht="12" customHeight="1" x14ac:dyDescent="0.3">
      <c r="A35" s="11" t="s">
        <v>202</v>
      </c>
      <c r="B35" s="11"/>
      <c r="C35" s="11"/>
      <c r="D35" s="11"/>
    </row>
    <row r="36" spans="1:4" ht="10.35" customHeight="1" x14ac:dyDescent="0.3">
      <c r="A36" s="13"/>
      <c r="B36" s="13"/>
      <c r="C36" s="13"/>
      <c r="D36" s="13"/>
    </row>
    <row r="37" spans="1:4" ht="13.65" customHeight="1" x14ac:dyDescent="0.3">
      <c r="A37" s="2" t="s">
        <v>119</v>
      </c>
      <c r="B37" s="3" t="s">
        <v>120</v>
      </c>
      <c r="C37" s="5">
        <f>3*Inputs!C11*Inputs!C8^2/(16*Piston!C14^2)</f>
        <v>577.77777777777783</v>
      </c>
      <c r="D37" s="3" t="s">
        <v>20</v>
      </c>
    </row>
    <row r="38" spans="1:4" ht="13.65" customHeight="1" x14ac:dyDescent="0.3">
      <c r="A38" s="2" t="s">
        <v>121</v>
      </c>
      <c r="B38" s="3" t="s">
        <v>122</v>
      </c>
      <c r="C38" s="5">
        <f>Inputs!C20*Piston!C37</f>
        <v>173.33333333333334</v>
      </c>
      <c r="D38" s="3" t="s">
        <v>20</v>
      </c>
    </row>
    <row r="39" spans="1:4" ht="13.65" customHeight="1" x14ac:dyDescent="0.3">
      <c r="A39" s="2" t="s">
        <v>123</v>
      </c>
      <c r="B39" s="3" t="s">
        <v>124</v>
      </c>
      <c r="C39" s="5">
        <v>0</v>
      </c>
      <c r="D39" s="3" t="s">
        <v>20</v>
      </c>
    </row>
    <row r="40" spans="1:4" ht="13.65" customHeight="1" x14ac:dyDescent="0.3">
      <c r="A40" s="2" t="s">
        <v>125</v>
      </c>
      <c r="B40" s="3" t="s">
        <v>213</v>
      </c>
      <c r="C40" s="6">
        <f>SQRT(Piston!C37^2+Piston!C38^2-Piston!C37*Piston!C38)</f>
        <v>513.54012188934519</v>
      </c>
      <c r="D40" s="3" t="s">
        <v>20</v>
      </c>
    </row>
    <row r="41" spans="1:4" ht="13.65" customHeight="1" x14ac:dyDescent="0.3">
      <c r="A41" s="2" t="s">
        <v>126</v>
      </c>
      <c r="B41" s="3" t="s">
        <v>127</v>
      </c>
      <c r="C41" s="5">
        <f>Inputs!C18/Piston!C40</f>
        <v>2.3756663754168734</v>
      </c>
      <c r="D41" s="3" t="s">
        <v>203</v>
      </c>
    </row>
    <row r="42" spans="1:4" ht="13.65" customHeight="1" x14ac:dyDescent="0.3">
      <c r="A42" s="2" t="s">
        <v>128</v>
      </c>
      <c r="B42" s="3" t="s">
        <v>129</v>
      </c>
      <c r="C42" s="5">
        <f>Inputs!C17/Piston!C40</f>
        <v>2.5314477770835535</v>
      </c>
      <c r="D42" s="3" t="s">
        <v>203</v>
      </c>
    </row>
  </sheetData>
  <mergeCells count="9">
    <mergeCell ref="A21:D21"/>
    <mergeCell ref="A28:D28"/>
    <mergeCell ref="A35:D35"/>
    <mergeCell ref="A36:D36"/>
    <mergeCell ref="A1:D1"/>
    <mergeCell ref="A2:D2"/>
    <mergeCell ref="A6:D6"/>
    <mergeCell ref="A10:D10"/>
    <mergeCell ref="A16:D16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3"/>
  <sheetViews>
    <sheetView tabSelected="1" workbookViewId="0">
      <selection activeCell="E13" sqref="E13"/>
    </sheetView>
  </sheetViews>
  <sheetFormatPr defaultRowHeight="14.4" x14ac:dyDescent="0.3"/>
  <cols>
    <col min="1" max="1" width="14" customWidth="1"/>
    <col min="2" max="2" width="50" customWidth="1"/>
    <col min="3" max="3" width="14" customWidth="1"/>
    <col min="4" max="4" width="10" customWidth="1"/>
  </cols>
  <sheetData>
    <row r="1" spans="1:4" ht="17.55" customHeight="1" x14ac:dyDescent="0.35">
      <c r="A1" s="12" t="s">
        <v>130</v>
      </c>
      <c r="B1" s="12"/>
      <c r="C1" s="12"/>
      <c r="D1" s="12"/>
    </row>
    <row r="2" spans="1:4" ht="10.35" customHeight="1" x14ac:dyDescent="0.3">
      <c r="A2" s="13"/>
      <c r="B2" s="13"/>
      <c r="C2" s="13"/>
      <c r="D2" s="13"/>
    </row>
    <row r="3" spans="1:4" ht="4.8" customHeight="1" x14ac:dyDescent="0.3"/>
    <row r="4" spans="1:4" ht="13.65" customHeight="1" x14ac:dyDescent="0.3">
      <c r="A4" s="1" t="s">
        <v>0</v>
      </c>
      <c r="B4" s="1" t="s">
        <v>1</v>
      </c>
      <c r="C4" s="1" t="s">
        <v>78</v>
      </c>
      <c r="D4" s="1" t="s">
        <v>3</v>
      </c>
    </row>
    <row r="5" spans="1:4" ht="4.8" customHeight="1" x14ac:dyDescent="0.3"/>
    <row r="6" spans="1:4" ht="12" customHeight="1" x14ac:dyDescent="0.3">
      <c r="A6" s="11" t="s">
        <v>131</v>
      </c>
      <c r="B6" s="11"/>
      <c r="C6" s="11"/>
      <c r="D6" s="11"/>
    </row>
    <row r="7" spans="1:4" ht="13.65" customHeight="1" x14ac:dyDescent="0.3">
      <c r="A7" s="2" t="s">
        <v>132</v>
      </c>
      <c r="B7" s="3" t="s">
        <v>196</v>
      </c>
      <c r="C7" s="7">
        <v>20</v>
      </c>
      <c r="D7" s="3" t="s">
        <v>13</v>
      </c>
    </row>
    <row r="8" spans="1:4" ht="13.65" customHeight="1" x14ac:dyDescent="0.3">
      <c r="A8" s="2" t="s">
        <v>80</v>
      </c>
      <c r="B8" s="3" t="s">
        <v>133</v>
      </c>
      <c r="C8" s="5">
        <f>11*'Connecting Rod'!C7^2</f>
        <v>4400</v>
      </c>
      <c r="D8" s="3" t="s">
        <v>82</v>
      </c>
    </row>
    <row r="9" spans="1:4" ht="13.65" customHeight="1" x14ac:dyDescent="0.3">
      <c r="A9" s="2" t="s">
        <v>134</v>
      </c>
      <c r="B9" s="3" t="s">
        <v>204</v>
      </c>
      <c r="C9" s="5">
        <f>419*'Connecting Rod'!C7^4/12</f>
        <v>5586666.666666667</v>
      </c>
      <c r="D9" s="3" t="s">
        <v>135</v>
      </c>
    </row>
    <row r="10" spans="1:4" ht="13.65" customHeight="1" x14ac:dyDescent="0.3">
      <c r="A10" s="2" t="s">
        <v>136</v>
      </c>
      <c r="B10" s="3" t="s">
        <v>205</v>
      </c>
      <c r="C10" s="5">
        <f>'Connecting Rod'!C9/3.2</f>
        <v>1745833.3333333333</v>
      </c>
      <c r="D10" s="3" t="s">
        <v>135</v>
      </c>
    </row>
    <row r="11" spans="1:4" ht="13.65" customHeight="1" x14ac:dyDescent="0.3">
      <c r="A11" s="2" t="s">
        <v>137</v>
      </c>
      <c r="B11" s="3" t="s">
        <v>206</v>
      </c>
      <c r="C11" s="5">
        <f>SQRT('Connecting Rod'!C9/'Connecting Rod'!C8)</f>
        <v>35.632807491088457</v>
      </c>
      <c r="D11" s="3" t="s">
        <v>13</v>
      </c>
    </row>
    <row r="12" spans="1:4" ht="13.65" customHeight="1" x14ac:dyDescent="0.3">
      <c r="A12" s="2" t="s">
        <v>138</v>
      </c>
      <c r="B12" s="3" t="s">
        <v>207</v>
      </c>
      <c r="C12" s="5">
        <f>SQRT('Connecting Rod'!C10/'Connecting Rod'!C8)</f>
        <v>19.919344944809382</v>
      </c>
      <c r="D12" s="3" t="s">
        <v>13</v>
      </c>
    </row>
    <row r="13" spans="1:4" ht="13.65" customHeight="1" x14ac:dyDescent="0.3">
      <c r="A13" s="2" t="s">
        <v>139</v>
      </c>
      <c r="B13" s="3" t="s">
        <v>140</v>
      </c>
      <c r="C13" s="5">
        <f>'Connecting Rod'!C9/(5*'Connecting Rod'!C7/2)</f>
        <v>111733.33333333334</v>
      </c>
      <c r="D13" s="3" t="s">
        <v>141</v>
      </c>
    </row>
    <row r="14" spans="1:4" ht="4.8" customHeight="1" x14ac:dyDescent="0.3"/>
    <row r="15" spans="1:4" ht="12" customHeight="1" x14ac:dyDescent="0.3">
      <c r="A15" s="11" t="s">
        <v>142</v>
      </c>
      <c r="B15" s="11"/>
      <c r="C15" s="11"/>
      <c r="D15" s="11"/>
    </row>
    <row r="16" spans="1:4" ht="13.65" customHeight="1" x14ac:dyDescent="0.3">
      <c r="A16" s="2" t="s">
        <v>143</v>
      </c>
      <c r="B16" s="3" t="s">
        <v>144</v>
      </c>
      <c r="C16" s="5">
        <f>Piston!C8/'Connecting Rod'!C8</f>
        <v>2.0892483644285078</v>
      </c>
      <c r="D16" s="3" t="s">
        <v>20</v>
      </c>
    </row>
    <row r="17" spans="1:4" ht="4.8" customHeight="1" x14ac:dyDescent="0.3"/>
    <row r="18" spans="1:4" ht="12" customHeight="1" x14ac:dyDescent="0.3">
      <c r="A18" s="11" t="s">
        <v>145</v>
      </c>
      <c r="B18" s="11"/>
      <c r="C18" s="11"/>
      <c r="D18" s="11"/>
    </row>
    <row r="19" spans="1:4" ht="13.65" customHeight="1" x14ac:dyDescent="0.3">
      <c r="A19" s="2" t="s">
        <v>146</v>
      </c>
      <c r="B19" s="3" t="s">
        <v>147</v>
      </c>
      <c r="C19" s="5">
        <f>(Inputs!C47/Inputs!C13)*Inputs!C14^2*Inputs!C12</f>
        <v>76870.363146067408</v>
      </c>
      <c r="D19" s="3" t="s">
        <v>148</v>
      </c>
    </row>
    <row r="20" spans="1:4" ht="13.65" customHeight="1" x14ac:dyDescent="0.3">
      <c r="A20" s="2" t="s">
        <v>149</v>
      </c>
      <c r="B20" s="3" t="s">
        <v>150</v>
      </c>
      <c r="C20" s="5">
        <f>'Connecting Rod'!C19*Inputs!C13^2/(12*SQRT(3))</f>
        <v>35447241.406028152</v>
      </c>
      <c r="D20" s="3" t="s">
        <v>116</v>
      </c>
    </row>
    <row r="21" spans="1:4" ht="13.65" customHeight="1" x14ac:dyDescent="0.3">
      <c r="A21" s="2" t="s">
        <v>151</v>
      </c>
      <c r="B21" s="3" t="s">
        <v>152</v>
      </c>
      <c r="C21" s="5">
        <f>'Connecting Rod'!C20/'Connecting Rod'!C13</f>
        <v>317.24858060287721</v>
      </c>
      <c r="D21" s="3" t="s">
        <v>20</v>
      </c>
    </row>
    <row r="22" spans="1:4" ht="2.4" customHeight="1" x14ac:dyDescent="0.3"/>
    <row r="24" spans="1:4" ht="12" customHeight="1" x14ac:dyDescent="0.3">
      <c r="A24" s="14" t="s">
        <v>208</v>
      </c>
      <c r="B24" s="11"/>
      <c r="C24" s="11"/>
      <c r="D24" s="11"/>
    </row>
    <row r="25" spans="1:4" ht="13.65" customHeight="1" x14ac:dyDescent="0.3">
      <c r="A25" s="2" t="s">
        <v>153</v>
      </c>
      <c r="B25" s="3" t="s">
        <v>154</v>
      </c>
      <c r="C25" s="5">
        <f>'Connecting Rod'!C16+'Connecting Rod'!C21</f>
        <v>319.33782896730571</v>
      </c>
      <c r="D25" s="3" t="s">
        <v>20</v>
      </c>
    </row>
    <row r="26" spans="1:4" ht="13.65" customHeight="1" x14ac:dyDescent="0.3">
      <c r="A26" s="2" t="s">
        <v>155</v>
      </c>
      <c r="B26" s="3" t="s">
        <v>209</v>
      </c>
      <c r="C26" s="6">
        <f>'Connecting Rod'!C25</f>
        <v>319.33782896730571</v>
      </c>
      <c r="D26" s="3" t="s">
        <v>20</v>
      </c>
    </row>
    <row r="27" spans="1:4" ht="13.65" customHeight="1" x14ac:dyDescent="0.3">
      <c r="A27" s="2" t="s">
        <v>156</v>
      </c>
      <c r="B27" s="3" t="s">
        <v>127</v>
      </c>
      <c r="C27" s="5">
        <f>Inputs!C38/'Connecting Rod'!C26</f>
        <v>1.189962370662027</v>
      </c>
      <c r="D27" s="3" t="s">
        <v>203</v>
      </c>
    </row>
    <row r="28" spans="1:4" ht="13.65" customHeight="1" x14ac:dyDescent="0.3">
      <c r="A28" s="2" t="s">
        <v>157</v>
      </c>
      <c r="B28" s="3" t="s">
        <v>129</v>
      </c>
      <c r="C28" s="5">
        <f>Inputs!C39/'Connecting Rod'!C26</f>
        <v>2.0354619498166251</v>
      </c>
      <c r="D28" s="3" t="s">
        <v>203</v>
      </c>
    </row>
    <row r="29" spans="1:4" ht="4.8" customHeight="1" x14ac:dyDescent="0.3"/>
    <row r="30" spans="1:4" ht="12" customHeight="1" x14ac:dyDescent="0.3">
      <c r="A30" s="14" t="s">
        <v>210</v>
      </c>
      <c r="B30" s="11"/>
      <c r="C30" s="11"/>
      <c r="D30" s="11"/>
    </row>
    <row r="31" spans="1:4" ht="10.35" customHeight="1" x14ac:dyDescent="0.3">
      <c r="A31" s="13"/>
      <c r="B31" s="13"/>
      <c r="C31" s="13"/>
      <c r="D31" s="13"/>
    </row>
    <row r="32" spans="1:4" ht="13.65" customHeight="1" x14ac:dyDescent="0.3">
      <c r="A32" s="2" t="s">
        <v>158</v>
      </c>
      <c r="B32" s="3" t="s">
        <v>159</v>
      </c>
      <c r="C32" s="5">
        <f>Inputs!C41*Inputs!C42*Inputs!C43*Inputs!C44*Inputs!C45*Inputs!C46</f>
        <v>151.47000000000003</v>
      </c>
      <c r="D32" s="3" t="s">
        <v>20</v>
      </c>
    </row>
    <row r="33" spans="1:4" ht="13.65" customHeight="1" x14ac:dyDescent="0.3">
      <c r="A33" s="2" t="s">
        <v>160</v>
      </c>
      <c r="B33" s="3" t="s">
        <v>161</v>
      </c>
      <c r="C33" s="5">
        <f>'Connecting Rod'!C25</f>
        <v>319.33782896730571</v>
      </c>
      <c r="D33" s="3" t="s">
        <v>20</v>
      </c>
    </row>
    <row r="34" spans="1:4" ht="13.65" customHeight="1" x14ac:dyDescent="0.3">
      <c r="A34" s="2" t="s">
        <v>162</v>
      </c>
      <c r="B34" s="3" t="s">
        <v>163</v>
      </c>
      <c r="C34" s="5">
        <v>0</v>
      </c>
      <c r="D34" s="3" t="s">
        <v>20</v>
      </c>
    </row>
    <row r="35" spans="1:4" ht="13.65" customHeight="1" x14ac:dyDescent="0.3">
      <c r="A35" s="2" t="s">
        <v>164</v>
      </c>
      <c r="B35" s="3" t="s">
        <v>165</v>
      </c>
      <c r="C35" s="5">
        <f>('Connecting Rod'!C33+'Connecting Rod'!C34)/2</f>
        <v>159.66891448365286</v>
      </c>
      <c r="D35" s="3" t="s">
        <v>20</v>
      </c>
    </row>
    <row r="36" spans="1:4" ht="13.65" customHeight="1" x14ac:dyDescent="0.3">
      <c r="A36" s="2" t="s">
        <v>166</v>
      </c>
      <c r="B36" s="3" t="s">
        <v>167</v>
      </c>
      <c r="C36" s="5">
        <f>ABS('Connecting Rod'!C33-'Connecting Rod'!C34)/2</f>
        <v>159.66891448365286</v>
      </c>
      <c r="D36" s="3" t="s">
        <v>20</v>
      </c>
    </row>
    <row r="37" spans="1:4" ht="13.65" customHeight="1" x14ac:dyDescent="0.3">
      <c r="A37" s="9" t="s">
        <v>168</v>
      </c>
      <c r="B37" s="3" t="s">
        <v>197</v>
      </c>
      <c r="C37" s="6">
        <f>1/('Connecting Rod'!C35/Inputs!C38+'Connecting Rod'!C36/'Connecting Rod'!C32)</f>
        <v>0.67828325318146732</v>
      </c>
      <c r="D37" s="3" t="s">
        <v>203</v>
      </c>
    </row>
    <row r="38" spans="1:4" ht="13.65" customHeight="1" x14ac:dyDescent="0.3">
      <c r="A38" s="2" t="s">
        <v>169</v>
      </c>
      <c r="B38" s="3" t="s">
        <v>170</v>
      </c>
      <c r="C38" s="5">
        <f>1/('Connecting Rod'!C35/Inputs!C39+'Connecting Rod'!C36/'Connecting Rod'!C32)</f>
        <v>0.76936484594239141</v>
      </c>
      <c r="D38" s="3" t="s">
        <v>203</v>
      </c>
    </row>
    <row r="39" spans="1:4" ht="4.8" customHeight="1" x14ac:dyDescent="0.3"/>
    <row r="40" spans="1:4" ht="12" customHeight="1" x14ac:dyDescent="0.3">
      <c r="A40" s="11" t="s">
        <v>171</v>
      </c>
      <c r="B40" s="11"/>
      <c r="C40" s="11"/>
      <c r="D40" s="11"/>
    </row>
    <row r="41" spans="1:4" ht="13.65" customHeight="1" x14ac:dyDescent="0.3">
      <c r="A41" s="2" t="s">
        <v>172</v>
      </c>
      <c r="B41" s="3" t="s">
        <v>173</v>
      </c>
      <c r="C41" s="5">
        <f>Piston!C33</f>
        <v>16.022122533307947</v>
      </c>
      <c r="D41" s="3" t="s">
        <v>13</v>
      </c>
    </row>
    <row r="42" spans="1:4" ht="13.65" customHeight="1" x14ac:dyDescent="0.3">
      <c r="A42" s="2" t="s">
        <v>174</v>
      </c>
      <c r="B42" s="3" t="s">
        <v>175</v>
      </c>
      <c r="C42" s="5">
        <f>Piston!C8/(Piston!C33*12)</f>
        <v>47.8125</v>
      </c>
      <c r="D42" s="3" t="s">
        <v>13</v>
      </c>
    </row>
    <row r="43" spans="1:4" ht="13.65" customHeight="1" x14ac:dyDescent="0.3">
      <c r="A43" s="2" t="s">
        <v>176</v>
      </c>
      <c r="B43" s="3" t="s">
        <v>177</v>
      </c>
      <c r="C43" s="5">
        <f>1.15*Piston!C33</f>
        <v>18.425440913304136</v>
      </c>
      <c r="D43" s="3" t="s">
        <v>13</v>
      </c>
    </row>
  </sheetData>
  <mergeCells count="9">
    <mergeCell ref="A31:D31"/>
    <mergeCell ref="A40:D40"/>
    <mergeCell ref="A24:D24"/>
    <mergeCell ref="A30:D30"/>
    <mergeCell ref="A1:D1"/>
    <mergeCell ref="A2:D2"/>
    <mergeCell ref="A6:D6"/>
    <mergeCell ref="A15:D15"/>
    <mergeCell ref="A18:D1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Piston</vt:lpstr>
      <vt:lpstr>Connecting Rod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2026-07-14T18:17:19Z</dcterms:created>
  <dcterms:modified xsi:type="dcterms:W3CDTF">2026-07-15T13:28:33Z</dcterms:modified>
  <cp:category/>
</cp:coreProperties>
</file>